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hreninnovationcapital.sharepoint.com/Ahren_Shared/Shared Documents/Ahren/Anuj/Diligence Summary Folder/"/>
    </mc:Choice>
  </mc:AlternateContent>
  <xr:revisionPtr revIDLastSave="13" documentId="13_ncr:1_{6A7407F0-3965-4663-95A2-6E1B6552452C}" xr6:coauthVersionLast="47" xr6:coauthVersionMax="47" xr10:uidLastSave="{C71C248A-D478-46C5-9D83-FB9E4A95540A}"/>
  <bookViews>
    <workbookView xWindow="-103" yWindow="-103" windowWidth="24892" windowHeight="14914" xr2:uid="{00000000-000D-0000-FFFF-FFFF00000000}"/>
  </bookViews>
  <sheets>
    <sheet name="DD checklist" sheetId="1" r:id="rId1"/>
  </sheets>
  <definedNames>
    <definedName name="_xlnm.Print_Area" localSheetId="0">'DD checklist'!$A$1:$I$103</definedName>
  </definedNames>
  <calcPr calcId="191029" iterate="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87" i="1" l="1"/>
  <c r="F87" i="1"/>
  <c r="D14" i="1"/>
  <c r="G30" i="1"/>
  <c r="F30" i="1"/>
  <c r="B10" i="1"/>
  <c r="B8" i="1"/>
  <c r="B9" i="1"/>
  <c r="B7" i="1"/>
  <c r="G57" i="1"/>
  <c r="F57" i="1"/>
  <c r="G56" i="1"/>
  <c r="F56" i="1"/>
  <c r="G53" i="1"/>
  <c r="F53" i="1"/>
  <c r="G52" i="1"/>
  <c r="F52" i="1"/>
  <c r="G49" i="1"/>
  <c r="F49" i="1"/>
  <c r="G48" i="1"/>
  <c r="F48" i="1"/>
  <c r="G45" i="1"/>
  <c r="F45" i="1"/>
  <c r="G44" i="1"/>
  <c r="F44" i="1"/>
  <c r="G41" i="1"/>
  <c r="G42" i="1" s="1"/>
  <c r="F41" i="1"/>
  <c r="F42" i="1" s="1"/>
  <c r="G99" i="1"/>
  <c r="F99" i="1"/>
  <c r="G98" i="1"/>
  <c r="F98" i="1"/>
  <c r="G97" i="1"/>
  <c r="F97" i="1"/>
  <c r="G94" i="1"/>
  <c r="F94" i="1"/>
  <c r="G93" i="1"/>
  <c r="F93" i="1"/>
  <c r="G91" i="1"/>
  <c r="F91" i="1"/>
  <c r="G92" i="1"/>
  <c r="F92" i="1"/>
  <c r="G86" i="1"/>
  <c r="F86" i="1"/>
  <c r="G88" i="1"/>
  <c r="F88" i="1"/>
  <c r="G85" i="1"/>
  <c r="F85" i="1"/>
  <c r="G82" i="1"/>
  <c r="F82" i="1"/>
  <c r="G81" i="1"/>
  <c r="F81" i="1"/>
  <c r="G73" i="1"/>
  <c r="F73" i="1"/>
  <c r="G72" i="1"/>
  <c r="F72" i="1"/>
  <c r="G71" i="1"/>
  <c r="F71" i="1"/>
  <c r="G70" i="1"/>
  <c r="F70" i="1"/>
  <c r="G69" i="1"/>
  <c r="F69" i="1"/>
  <c r="G66" i="1"/>
  <c r="F66" i="1"/>
  <c r="G65" i="1"/>
  <c r="F65" i="1"/>
  <c r="G64" i="1"/>
  <c r="F64" i="1"/>
  <c r="G34" i="1"/>
  <c r="F34" i="1"/>
  <c r="G33" i="1"/>
  <c r="F33" i="1"/>
  <c r="G26" i="1"/>
  <c r="F26" i="1"/>
  <c r="F25" i="1"/>
  <c r="G25" i="1"/>
  <c r="G29" i="1"/>
  <c r="F29" i="1"/>
  <c r="G28" i="1"/>
  <c r="F28" i="1"/>
  <c r="G27" i="1"/>
  <c r="F27" i="1"/>
  <c r="F19" i="1"/>
  <c r="G19" i="1"/>
  <c r="G23" i="1" s="1"/>
  <c r="F18" i="1"/>
  <c r="G18" i="1"/>
  <c r="F22" i="1"/>
  <c r="G22" i="1"/>
  <c r="F21" i="1"/>
  <c r="G21" i="1"/>
  <c r="F20" i="1"/>
  <c r="G20" i="1"/>
  <c r="F95" i="1" l="1"/>
  <c r="G95" i="1"/>
  <c r="F23" i="1"/>
  <c r="H23" i="1" s="1"/>
  <c r="G31" i="1"/>
  <c r="F31" i="1"/>
  <c r="H42" i="1"/>
  <c r="G50" i="1"/>
  <c r="F58" i="1"/>
  <c r="F54" i="1"/>
  <c r="F50" i="1"/>
  <c r="G46" i="1"/>
  <c r="G54" i="1"/>
  <c r="G58" i="1"/>
  <c r="F46" i="1"/>
  <c r="F74" i="1"/>
  <c r="F89" i="1"/>
  <c r="F100" i="1"/>
  <c r="G74" i="1"/>
  <c r="G83" i="1"/>
  <c r="G89" i="1"/>
  <c r="G100" i="1"/>
  <c r="F67" i="1"/>
  <c r="F83" i="1"/>
  <c r="G67" i="1"/>
  <c r="G35" i="1"/>
  <c r="F35" i="1"/>
  <c r="G76" i="1" l="1"/>
  <c r="G9" i="1" s="1"/>
  <c r="F102" i="1"/>
  <c r="F10" i="1" s="1"/>
  <c r="G102" i="1"/>
  <c r="G10" i="1" s="1"/>
  <c r="H50" i="1"/>
  <c r="F76" i="1"/>
  <c r="H54" i="1"/>
  <c r="H58" i="1"/>
  <c r="H46" i="1"/>
  <c r="G60" i="1"/>
  <c r="G8" i="1" s="1"/>
  <c r="H74" i="1"/>
  <c r="H89" i="1"/>
  <c r="H83" i="1"/>
  <c r="F60" i="1"/>
  <c r="H95" i="1"/>
  <c r="H67" i="1"/>
  <c r="H100" i="1"/>
  <c r="H35" i="1"/>
  <c r="F37" i="1"/>
  <c r="F7" i="1" s="1"/>
  <c r="G37" i="1"/>
  <c r="G7" i="1" s="1"/>
  <c r="H31" i="1"/>
  <c r="H10" i="1" l="1"/>
  <c r="H76" i="1"/>
  <c r="F9" i="1"/>
  <c r="H9" i="1" s="1"/>
  <c r="F8" i="1"/>
  <c r="H8" i="1" s="1"/>
  <c r="H60" i="1"/>
  <c r="H102" i="1"/>
  <c r="H7" i="1"/>
  <c r="H37" i="1"/>
  <c r="F11" i="1" l="1"/>
  <c r="G11" i="1"/>
  <c r="H11" i="1" l="1"/>
</calcChain>
</file>

<file path=xl/sharedStrings.xml><?xml version="1.0" encoding="utf-8"?>
<sst xmlns="http://schemas.openxmlformats.org/spreadsheetml/2006/main" count="98" uniqueCount="83">
  <si>
    <t>Theme</t>
  </si>
  <si>
    <t>Criteria</t>
  </si>
  <si>
    <t>Max</t>
  </si>
  <si>
    <t>Science</t>
  </si>
  <si>
    <t>Industry dynamics</t>
  </si>
  <si>
    <t>Investment thesis</t>
  </si>
  <si>
    <t>Market potential</t>
  </si>
  <si>
    <t>Risks</t>
  </si>
  <si>
    <t>Exit options</t>
  </si>
  <si>
    <t>Barriers to entry</t>
  </si>
  <si>
    <t>Time to commercialisation</t>
  </si>
  <si>
    <t xml:space="preserve">Feasibility </t>
  </si>
  <si>
    <t>People</t>
  </si>
  <si>
    <t>Driven to realise success</t>
  </si>
  <si>
    <t>Driven to have a positive impact</t>
  </si>
  <si>
    <t>Company</t>
  </si>
  <si>
    <t>Scale</t>
  </si>
  <si>
    <t>Min</t>
  </si>
  <si>
    <t>Total</t>
  </si>
  <si>
    <t>Importance (0-100%)</t>
  </si>
  <si>
    <t>Track record</t>
  </si>
  <si>
    <t>Competitive landscape</t>
  </si>
  <si>
    <t>Potential market size / opportunity</t>
  </si>
  <si>
    <t>Execution risks</t>
  </si>
  <si>
    <t>Scientific / IP risks</t>
  </si>
  <si>
    <t>Legal / regulatory risks</t>
  </si>
  <si>
    <t>Potential buyers</t>
  </si>
  <si>
    <t>Exit routes</t>
  </si>
  <si>
    <t>Timeline to monetisation</t>
  </si>
  <si>
    <t>Governance rights / control</t>
  </si>
  <si>
    <t>Dilution protection</t>
  </si>
  <si>
    <t>Strategy</t>
  </si>
  <si>
    <t>Operation readiness / credibility</t>
  </si>
  <si>
    <t>Long term outlook</t>
  </si>
  <si>
    <t>Summary</t>
  </si>
  <si>
    <t>Weighted points scored</t>
  </si>
  <si>
    <t>Max weighted points scored</t>
  </si>
  <si>
    <t>Weighted average score</t>
  </si>
  <si>
    <t>Power vs consumers / suppliers</t>
  </si>
  <si>
    <t>Vision / culture</t>
  </si>
  <si>
    <t>Commercialisation prospects of product</t>
  </si>
  <si>
    <t>Potential to change the world</t>
  </si>
  <si>
    <t>People / key person / staff risks</t>
  </si>
  <si>
    <t>Ability to provide follow-ons / timing of follow-ons</t>
  </si>
  <si>
    <t>3. Total Score - Industry / Market</t>
  </si>
  <si>
    <t>3. Industry / Market</t>
  </si>
  <si>
    <t>4. Financial and Investment Thesis</t>
  </si>
  <si>
    <t>Total Score - Financial and Investment Thesis</t>
  </si>
  <si>
    <t>Weighted average score (out of 5)</t>
  </si>
  <si>
    <t>Max possible weighted points scored</t>
  </si>
  <si>
    <t>Investment opportunity weighted points scored</t>
  </si>
  <si>
    <t>Detail</t>
  </si>
  <si>
    <t>(for discussion)</t>
  </si>
  <si>
    <t>Ability to protect IP</t>
  </si>
  <si>
    <t>Quality of underlying research (world-leading?)</t>
  </si>
  <si>
    <t>Innovative/cutting edge (leap-frogs current tech?)</t>
  </si>
  <si>
    <t>Scientific disruptive potential (creates new market?)</t>
  </si>
  <si>
    <t>Commercially minded</t>
  </si>
  <si>
    <t>Sufficient bandwidth &amp; skill to make company successful</t>
  </si>
  <si>
    <t>Positive vs negative potential impact assessment</t>
  </si>
  <si>
    <t>Access edge</t>
  </si>
  <si>
    <t>Info &amp; Expertise edge</t>
  </si>
  <si>
    <t>Operational edge</t>
  </si>
  <si>
    <t>Governance edge</t>
  </si>
  <si>
    <t>Values / ESG</t>
  </si>
  <si>
    <t>Potential for disruption by company</t>
  </si>
  <si>
    <t>Financial analysis/</t>
  </si>
  <si>
    <t>Value Potential</t>
  </si>
  <si>
    <t>Unit economics (if applicable)</t>
  </si>
  <si>
    <t>Return on capital drivers (if applicable)</t>
  </si>
  <si>
    <t>Cash generation potential</t>
  </si>
  <si>
    <t>Investment thesis strength</t>
  </si>
  <si>
    <t>Value potential</t>
  </si>
  <si>
    <t>Multi-pronged platform / opportunity set</t>
  </si>
  <si>
    <t>1. Company/Idea Foundations</t>
  </si>
  <si>
    <t>Total Score - Company/Idea Foundations</t>
  </si>
  <si>
    <t>Quantitative Investment Evaluation Checklist</t>
  </si>
  <si>
    <t>2. Our Angle</t>
  </si>
  <si>
    <t>Preferential access to the company</t>
  </si>
  <si>
    <t>Understanding of the science</t>
  </si>
  <si>
    <t>Understanding of the the market</t>
  </si>
  <si>
    <t>Ability for Operational Engine to add value</t>
  </si>
  <si>
    <t>Total Score - Our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</si>
</sst>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"/>
    <numFmt numFmtId="165" formatCode="#,##0%;\(#,##0\)%"/>
    <numFmt numFmtId="166" formatCode="#,##0.0;\(#,##0.0\)"/>
    <numFmt numFmtId="167" formatCode="#,##0.000;\(#,##0.000\)"/>
    <numFmt numFmtId="168" formatCode="#,##0.0000;\(#,##0.0000\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4"/>
      <name val="Times New Roman"/>
      <family val="1"/>
    </font>
    <font>
      <b/>
      <sz val="11"/>
      <color rgb="FFFF0000"/>
      <name val="Times New Roman"/>
      <family val="1"/>
    </font>
    <font>
      <b/>
      <i/>
      <sz val="11"/>
      <color theme="1"/>
      <name val="Times New Roman"/>
      <family val="1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164" fontId="2" fillId="3" borderId="0" xfId="0" applyNumberFormat="1" applyFont="1" applyFill="1"/>
    <xf numFmtId="164" fontId="3" fillId="0" borderId="0" xfId="0" applyNumberFormat="1" applyFont="1"/>
    <xf numFmtId="164" fontId="4" fillId="4" borderId="0" xfId="0" applyNumberFormat="1" applyFont="1" applyFill="1"/>
    <xf numFmtId="164" fontId="3" fillId="4" borderId="0" xfId="0" applyNumberFormat="1" applyFont="1" applyFill="1"/>
    <xf numFmtId="165" fontId="3" fillId="4" borderId="0" xfId="0" applyNumberFormat="1" applyFont="1" applyFill="1"/>
    <xf numFmtId="166" fontId="3" fillId="4" borderId="0" xfId="0" applyNumberFormat="1" applyFont="1" applyFill="1"/>
    <xf numFmtId="164" fontId="5" fillId="0" borderId="0" xfId="0" applyNumberFormat="1" applyFont="1"/>
    <xf numFmtId="164" fontId="3" fillId="2" borderId="1" xfId="0" applyNumberFormat="1" applyFont="1" applyFill="1" applyBorder="1"/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9" fontId="3" fillId="2" borderId="1" xfId="1" applyFont="1" applyFill="1" applyBorder="1" applyAlignment="1">
      <alignment horizontal="right" wrapText="1"/>
    </xf>
    <xf numFmtId="9" fontId="5" fillId="2" borderId="1" xfId="1" applyFont="1" applyFill="1" applyBorder="1" applyAlignment="1">
      <alignment horizontal="right" wrapText="1"/>
    </xf>
    <xf numFmtId="164" fontId="6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9" fontId="3" fillId="0" borderId="0" xfId="1" applyFont="1"/>
    <xf numFmtId="164" fontId="3" fillId="0" borderId="1" xfId="0" applyNumberFormat="1" applyFont="1" applyBorder="1"/>
    <xf numFmtId="165" fontId="3" fillId="0" borderId="1" xfId="0" applyNumberFormat="1" applyFont="1" applyBorder="1"/>
    <xf numFmtId="166" fontId="3" fillId="0" borderId="1" xfId="0" applyNumberFormat="1" applyFont="1" applyBorder="1"/>
    <xf numFmtId="164" fontId="5" fillId="0" borderId="4" xfId="0" applyNumberFormat="1" applyFont="1" applyBorder="1"/>
    <xf numFmtId="165" fontId="5" fillId="0" borderId="4" xfId="0" applyNumberFormat="1" applyFont="1" applyBorder="1"/>
    <xf numFmtId="166" fontId="5" fillId="0" borderId="4" xfId="0" applyNumberFormat="1" applyFont="1" applyBorder="1"/>
    <xf numFmtId="166" fontId="7" fillId="5" borderId="5" xfId="0" applyNumberFormat="1" applyFont="1" applyFill="1" applyBorder="1"/>
    <xf numFmtId="166" fontId="3" fillId="2" borderId="1" xfId="0" applyNumberFormat="1" applyFont="1" applyFill="1" applyBorder="1" applyAlignment="1">
      <alignment horizontal="right"/>
    </xf>
    <xf numFmtId="9" fontId="3" fillId="2" borderId="1" xfId="1" applyFont="1" applyFill="1" applyBorder="1" applyAlignment="1">
      <alignment horizontal="right"/>
    </xf>
    <xf numFmtId="166" fontId="3" fillId="0" borderId="0" xfId="0" applyNumberFormat="1" applyFont="1" applyAlignment="1">
      <alignment horizontal="right"/>
    </xf>
    <xf numFmtId="166" fontId="3" fillId="4" borderId="0" xfId="0" applyNumberFormat="1" applyFont="1" applyFill="1" applyAlignment="1">
      <alignment horizontal="right"/>
    </xf>
    <xf numFmtId="9" fontId="3" fillId="4" borderId="0" xfId="1" applyFont="1" applyFill="1" applyAlignment="1">
      <alignment horizontal="right"/>
    </xf>
    <xf numFmtId="165" fontId="6" fillId="0" borderId="0" xfId="0" applyNumberFormat="1" applyFont="1"/>
    <xf numFmtId="164" fontId="8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64" fontId="5" fillId="0" borderId="3" xfId="0" applyNumberFormat="1" applyFont="1" applyBorder="1"/>
    <xf numFmtId="164" fontId="3" fillId="0" borderId="3" xfId="0" applyNumberFormat="1" applyFont="1" applyBorder="1"/>
    <xf numFmtId="165" fontId="3" fillId="0" borderId="3" xfId="0" applyNumberFormat="1" applyFont="1" applyBorder="1"/>
    <xf numFmtId="166" fontId="5" fillId="0" borderId="3" xfId="0" applyNumberFormat="1" applyFont="1" applyBorder="1"/>
    <xf numFmtId="9" fontId="3" fillId="4" borderId="0" xfId="1" applyFont="1" applyFill="1"/>
    <xf numFmtId="164" fontId="3" fillId="0" borderId="2" xfId="0" applyNumberFormat="1" applyFont="1" applyBorder="1"/>
    <xf numFmtId="165" fontId="3" fillId="0" borderId="2" xfId="0" applyNumberFormat="1" applyFont="1" applyBorder="1"/>
    <xf numFmtId="166" fontId="3" fillId="0" borderId="2" xfId="0" applyNumberFormat="1" applyFont="1" applyBorder="1"/>
    <xf numFmtId="9" fontId="3" fillId="0" borderId="2" xfId="1" applyFont="1" applyBorder="1"/>
    <xf numFmtId="167" fontId="5" fillId="0" borderId="0" xfId="0" applyNumberFormat="1" applyFont="1"/>
    <xf numFmtId="168" fontId="3" fillId="0" borderId="0" xfId="0" applyNumberFormat="1" applyFont="1"/>
    <xf numFmtId="167" fontId="3" fillId="6" borderId="0" xfId="0" applyNumberFormat="1" applyFont="1" applyFill="1"/>
    <xf numFmtId="164" fontId="9" fillId="3" borderId="0" xfId="0" applyNumberFormat="1" applyFont="1" applyFill="1" applyAlignment="1">
      <alignment horizontal="center"/>
    </xf>
    <xf numFmtId="0" fontId="0" fillId="0" borderId="0" xfId="0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Z129"/>
  <sheetViews>
    <sheetView showGridLines="0" tabSelected="1" view="pageBreakPreview" zoomScale="85" zoomScaleNormal="70" zoomScaleSheetLayoutView="85" workbookViewId="0">
      <selection activeCell="C8" sqref="C8"/>
    </sheetView>
  </sheetViews>
  <sheetFormatPr defaultColWidth="8.69140625" defaultRowHeight="14.15" x14ac:dyDescent="0.35"/>
  <cols>
    <col min="1" max="1" width="3.53515625" style="2" customWidth="1"/>
    <col min="2" max="2" width="31.53515625" style="2" customWidth="1"/>
    <col min="3" max="3" width="53.53515625" style="2" customWidth="1"/>
    <col min="4" max="4" width="21.53515625" style="2" customWidth="1"/>
    <col min="5" max="5" width="26.53515625" style="14" customWidth="1"/>
    <col min="6" max="6" width="29.53515625" style="15" customWidth="1"/>
    <col min="7" max="7" width="27.3828125" style="15" customWidth="1"/>
    <col min="8" max="8" width="25.3828125" style="16" customWidth="1"/>
    <col min="9" max="9" width="3.53515625" style="2" customWidth="1"/>
    <col min="10" max="16384" width="8.69140625" style="2"/>
  </cols>
  <sheetData>
    <row r="2" spans="2:26" ht="15.45" x14ac:dyDescent="0.4">
      <c r="B2" s="45" t="s">
        <v>76</v>
      </c>
      <c r="C2" s="46"/>
      <c r="D2" s="46"/>
      <c r="E2" s="46"/>
      <c r="F2" s="46"/>
      <c r="G2" s="46"/>
      <c r="H2" s="46"/>
      <c r="Y2" s="1"/>
      <c r="Z2" s="1"/>
    </row>
    <row r="4" spans="2:26" x14ac:dyDescent="0.35">
      <c r="B4" s="3" t="s">
        <v>34</v>
      </c>
      <c r="C4" s="4"/>
      <c r="D4" s="4"/>
      <c r="E4" s="5"/>
      <c r="F4" s="6"/>
      <c r="G4" s="6"/>
      <c r="H4" s="6"/>
      <c r="Y4" s="7" t="s">
        <v>16</v>
      </c>
    </row>
    <row r="5" spans="2:26" ht="33" customHeight="1" x14ac:dyDescent="0.35">
      <c r="B5" s="8" t="s">
        <v>0</v>
      </c>
      <c r="C5" s="8"/>
      <c r="D5" s="9"/>
      <c r="E5" s="10"/>
      <c r="F5" s="11" t="s">
        <v>50</v>
      </c>
      <c r="G5" s="11" t="s">
        <v>49</v>
      </c>
      <c r="H5" s="12" t="s">
        <v>48</v>
      </c>
      <c r="Y5" s="2" t="s">
        <v>17</v>
      </c>
      <c r="Z5" s="13">
        <v>0</v>
      </c>
    </row>
    <row r="6" spans="2:26" x14ac:dyDescent="0.35">
      <c r="Y6" s="2" t="s">
        <v>2</v>
      </c>
      <c r="Z6" s="13">
        <v>5</v>
      </c>
    </row>
    <row r="7" spans="2:26" x14ac:dyDescent="0.35">
      <c r="B7" s="2" t="str">
        <f>B16</f>
        <v>1. Company/Idea Foundations</v>
      </c>
      <c r="F7" s="15">
        <f>F37</f>
        <v>40.6</v>
      </c>
      <c r="G7" s="15">
        <f>G37</f>
        <v>48</v>
      </c>
      <c r="H7" s="15">
        <f>F7/G7*$Z$6</f>
        <v>4.229166666666667</v>
      </c>
      <c r="K7" s="42"/>
      <c r="M7" s="43"/>
    </row>
    <row r="8" spans="2:26" x14ac:dyDescent="0.35">
      <c r="B8" s="2" t="str">
        <f>B39</f>
        <v>2. Our Angle</v>
      </c>
      <c r="F8" s="15">
        <f>F60</f>
        <v>33.5</v>
      </c>
      <c r="G8" s="15">
        <f>G60</f>
        <v>39.5</v>
      </c>
      <c r="H8" s="15">
        <f>F8/G8*$Z$6</f>
        <v>4.2405063291139236</v>
      </c>
      <c r="K8" s="42"/>
    </row>
    <row r="9" spans="2:26" x14ac:dyDescent="0.35">
      <c r="B9" s="2" t="str">
        <f>B62</f>
        <v>3. Industry / Market</v>
      </c>
      <c r="F9" s="15">
        <f>F76</f>
        <v>19.600000000000001</v>
      </c>
      <c r="G9" s="15">
        <f>G76</f>
        <v>26</v>
      </c>
      <c r="H9" s="15">
        <f>F9/G9*$Z$6</f>
        <v>3.7692307692307696</v>
      </c>
      <c r="K9" s="42"/>
    </row>
    <row r="10" spans="2:26" x14ac:dyDescent="0.35">
      <c r="B10" s="17" t="str">
        <f>B78</f>
        <v>4. Financial and Investment Thesis</v>
      </c>
      <c r="C10" s="17"/>
      <c r="D10" s="17"/>
      <c r="E10" s="18"/>
      <c r="F10" s="19">
        <f>F102</f>
        <v>32.200000000000003</v>
      </c>
      <c r="G10" s="19">
        <f>G102</f>
        <v>46</v>
      </c>
      <c r="H10" s="15">
        <f>F10/G10*$Z$6</f>
        <v>3.5000000000000004</v>
      </c>
      <c r="K10" s="42"/>
    </row>
    <row r="11" spans="2:26" s="7" customFormat="1" ht="14.6" thickBot="1" x14ac:dyDescent="0.4">
      <c r="B11" s="20" t="s">
        <v>18</v>
      </c>
      <c r="C11" s="20"/>
      <c r="D11" s="20"/>
      <c r="E11" s="21"/>
      <c r="F11" s="22">
        <f>SUM(F7:F10)</f>
        <v>125.89999999999999</v>
      </c>
      <c r="G11" s="22">
        <f>SUM(G7:G10)</f>
        <v>159.5</v>
      </c>
      <c r="H11" s="23">
        <f>F11/G11*$Z$6</f>
        <v>3.9467084639498431</v>
      </c>
      <c r="K11" s="44"/>
    </row>
    <row r="12" spans="2:26" ht="14.6" thickTop="1" x14ac:dyDescent="0.35"/>
    <row r="13" spans="2:26" x14ac:dyDescent="0.35">
      <c r="B13" s="3" t="s">
        <v>51</v>
      </c>
      <c r="C13" s="4"/>
      <c r="D13" s="4"/>
      <c r="E13" s="5"/>
      <c r="F13" s="6"/>
      <c r="G13" s="6"/>
      <c r="H13" s="6"/>
    </row>
    <row r="14" spans="2:26" x14ac:dyDescent="0.35">
      <c r="B14" s="8" t="s">
        <v>0</v>
      </c>
      <c r="C14" s="8" t="s">
        <v>1</v>
      </c>
      <c r="D14" s="9" t="str">
        <f>"("&amp;$Z$5&amp;") Bad to ("&amp;$Z$6&amp;") Good"</f>
        <v>(0) Bad to (5) Good</v>
      </c>
      <c r="E14" s="10" t="s">
        <v>19</v>
      </c>
      <c r="F14" s="24" t="s">
        <v>35</v>
      </c>
      <c r="G14" s="24" t="s">
        <v>36</v>
      </c>
      <c r="H14" s="25" t="s">
        <v>37</v>
      </c>
    </row>
    <row r="15" spans="2:26" x14ac:dyDescent="0.35">
      <c r="G15" s="26"/>
    </row>
    <row r="16" spans="2:26" x14ac:dyDescent="0.35">
      <c r="B16" s="3" t="s">
        <v>74</v>
      </c>
      <c r="C16" s="4"/>
      <c r="D16" s="4"/>
      <c r="E16" s="5"/>
      <c r="F16" s="6"/>
      <c r="G16" s="27"/>
      <c r="H16" s="28"/>
    </row>
    <row r="17" spans="2:8" hidden="1" x14ac:dyDescent="0.35">
      <c r="G17" s="26"/>
    </row>
    <row r="18" spans="2:8" collapsed="1" x14ac:dyDescent="0.35">
      <c r="B18" s="7" t="s">
        <v>3</v>
      </c>
      <c r="C18" s="2" t="s">
        <v>11</v>
      </c>
      <c r="D18" s="13">
        <v>3</v>
      </c>
      <c r="E18" s="29">
        <v>1</v>
      </c>
      <c r="F18" s="15">
        <f>D18*E18</f>
        <v>3</v>
      </c>
      <c r="G18" s="26">
        <f>$Z$6*E18</f>
        <v>5</v>
      </c>
    </row>
    <row r="19" spans="2:8" x14ac:dyDescent="0.35">
      <c r="B19" s="30" t="s">
        <v>52</v>
      </c>
      <c r="C19" s="2" t="s">
        <v>54</v>
      </c>
      <c r="D19" s="13">
        <v>4</v>
      </c>
      <c r="E19" s="29">
        <v>1</v>
      </c>
      <c r="F19" s="15">
        <f t="shared" ref="F19:F22" si="0">D19*E19</f>
        <v>4</v>
      </c>
      <c r="G19" s="26">
        <f>$Z$6*E19</f>
        <v>5</v>
      </c>
    </row>
    <row r="20" spans="2:8" x14ac:dyDescent="0.35">
      <c r="B20" s="7"/>
      <c r="C20" s="2" t="s">
        <v>55</v>
      </c>
      <c r="D20" s="13">
        <v>5</v>
      </c>
      <c r="E20" s="29">
        <v>1</v>
      </c>
      <c r="F20" s="15">
        <f>D20*E20</f>
        <v>5</v>
      </c>
      <c r="G20" s="26">
        <f>$Z$6*E20</f>
        <v>5</v>
      </c>
    </row>
    <row r="21" spans="2:8" x14ac:dyDescent="0.35">
      <c r="B21" s="7"/>
      <c r="C21" s="2" t="s">
        <v>56</v>
      </c>
      <c r="D21" s="13">
        <v>5</v>
      </c>
      <c r="E21" s="29">
        <v>0.6</v>
      </c>
      <c r="F21" s="15">
        <f>D21*E21</f>
        <v>3</v>
      </c>
      <c r="G21" s="26">
        <f>$Z$6*E21</f>
        <v>3</v>
      </c>
    </row>
    <row r="22" spans="2:8" x14ac:dyDescent="0.35">
      <c r="B22" s="7"/>
      <c r="C22" s="2" t="s">
        <v>53</v>
      </c>
      <c r="D22" s="13">
        <v>4</v>
      </c>
      <c r="E22" s="29">
        <v>0.6</v>
      </c>
      <c r="F22" s="15">
        <f t="shared" si="0"/>
        <v>2.4</v>
      </c>
      <c r="G22" s="26">
        <f>$Z$6*E22</f>
        <v>3</v>
      </c>
    </row>
    <row r="23" spans="2:8" s="7" customFormat="1" x14ac:dyDescent="0.35">
      <c r="C23" s="7" t="s">
        <v>18</v>
      </c>
      <c r="E23" s="31"/>
      <c r="F23" s="32">
        <f>SUM(F18:F22)</f>
        <v>17.399999999999999</v>
      </c>
      <c r="G23" s="32">
        <f>SUM(G18:G22)</f>
        <v>21</v>
      </c>
      <c r="H23" s="32">
        <f>F23/G23*$Z$6</f>
        <v>4.1428571428571423</v>
      </c>
    </row>
    <row r="24" spans="2:8" x14ac:dyDescent="0.35">
      <c r="B24" s="7"/>
    </row>
    <row r="25" spans="2:8" x14ac:dyDescent="0.35">
      <c r="B25" s="7" t="s">
        <v>12</v>
      </c>
      <c r="C25" s="2" t="s">
        <v>20</v>
      </c>
      <c r="D25" s="13">
        <v>4</v>
      </c>
      <c r="E25" s="29">
        <v>0.5</v>
      </c>
      <c r="F25" s="15">
        <f t="shared" ref="F25" si="1">D25*E25</f>
        <v>2</v>
      </c>
      <c r="G25" s="26">
        <f t="shared" ref="G25:G30" si="2">$Z$6*E25</f>
        <v>2.5</v>
      </c>
    </row>
    <row r="26" spans="2:8" x14ac:dyDescent="0.35">
      <c r="B26" s="7"/>
      <c r="C26" s="2" t="s">
        <v>39</v>
      </c>
      <c r="D26" s="13">
        <v>5</v>
      </c>
      <c r="E26" s="29">
        <v>1</v>
      </c>
      <c r="F26" s="15">
        <f t="shared" ref="F26" si="3">D26*E26</f>
        <v>5</v>
      </c>
      <c r="G26" s="26">
        <f t="shared" si="2"/>
        <v>5</v>
      </c>
    </row>
    <row r="27" spans="2:8" x14ac:dyDescent="0.35">
      <c r="B27" s="7"/>
      <c r="C27" s="2" t="s">
        <v>57</v>
      </c>
      <c r="D27" s="13">
        <v>4</v>
      </c>
      <c r="E27" s="29">
        <v>0.7</v>
      </c>
      <c r="F27" s="15">
        <f>D27*E27</f>
        <v>2.8</v>
      </c>
      <c r="G27" s="26">
        <f t="shared" si="2"/>
        <v>3.5</v>
      </c>
    </row>
    <row r="28" spans="2:8" x14ac:dyDescent="0.35">
      <c r="B28" s="7"/>
      <c r="C28" s="2" t="s">
        <v>13</v>
      </c>
      <c r="D28" s="13">
        <v>4</v>
      </c>
      <c r="E28" s="29">
        <v>1</v>
      </c>
      <c r="F28" s="15">
        <f>D28*E28</f>
        <v>4</v>
      </c>
      <c r="G28" s="26">
        <f t="shared" si="2"/>
        <v>5</v>
      </c>
    </row>
    <row r="29" spans="2:8" x14ac:dyDescent="0.35">
      <c r="B29" s="7"/>
      <c r="C29" s="2" t="s">
        <v>14</v>
      </c>
      <c r="D29" s="13">
        <v>4</v>
      </c>
      <c r="E29" s="29">
        <v>1</v>
      </c>
      <c r="F29" s="15">
        <f>D29*E29</f>
        <v>4</v>
      </c>
      <c r="G29" s="26">
        <f t="shared" si="2"/>
        <v>5</v>
      </c>
    </row>
    <row r="30" spans="2:8" x14ac:dyDescent="0.35">
      <c r="B30" s="7"/>
      <c r="C30" s="2" t="s">
        <v>58</v>
      </c>
      <c r="D30" s="13">
        <v>5</v>
      </c>
      <c r="E30" s="29">
        <v>0.6</v>
      </c>
      <c r="F30" s="15">
        <f t="shared" ref="F30" si="4">D30*E30</f>
        <v>3</v>
      </c>
      <c r="G30" s="26">
        <f t="shared" si="2"/>
        <v>3</v>
      </c>
    </row>
    <row r="31" spans="2:8" s="7" customFormat="1" hidden="1" x14ac:dyDescent="0.35">
      <c r="C31" s="7" t="s">
        <v>18</v>
      </c>
      <c r="E31" s="31"/>
      <c r="F31" s="32">
        <f>SUM(F25:F30)</f>
        <v>20.8</v>
      </c>
      <c r="G31" s="32">
        <f>SUM(G25:G30)</f>
        <v>24</v>
      </c>
      <c r="H31" s="32">
        <f>F31/G31*$Z$6</f>
        <v>4.3333333333333339</v>
      </c>
    </row>
    <row r="32" spans="2:8" collapsed="1" x14ac:dyDescent="0.35">
      <c r="B32" s="7"/>
    </row>
    <row r="33" spans="2:8" x14ac:dyDescent="0.35">
      <c r="B33" s="7" t="s">
        <v>15</v>
      </c>
      <c r="C33" s="2" t="s">
        <v>31</v>
      </c>
      <c r="D33" s="13">
        <v>4</v>
      </c>
      <c r="E33" s="29">
        <v>0.4</v>
      </c>
      <c r="F33" s="15">
        <f t="shared" ref="F33" si="5">D33*E33</f>
        <v>1.6</v>
      </c>
      <c r="G33" s="26">
        <f>$Z$6*E33</f>
        <v>2</v>
      </c>
    </row>
    <row r="34" spans="2:8" x14ac:dyDescent="0.35">
      <c r="B34" s="7"/>
      <c r="C34" s="2" t="s">
        <v>32</v>
      </c>
      <c r="D34" s="13">
        <v>4</v>
      </c>
      <c r="E34" s="29">
        <v>0.2</v>
      </c>
      <c r="F34" s="15">
        <f t="shared" ref="F34" si="6">D34*E34</f>
        <v>0.8</v>
      </c>
      <c r="G34" s="26">
        <f>$Z$6*E34</f>
        <v>1</v>
      </c>
    </row>
    <row r="35" spans="2:8" hidden="1" x14ac:dyDescent="0.35">
      <c r="B35" s="7"/>
      <c r="C35" s="7" t="s">
        <v>18</v>
      </c>
      <c r="D35" s="7"/>
      <c r="E35" s="31"/>
      <c r="F35" s="32">
        <f>SUM(F33:F34)</f>
        <v>2.4000000000000004</v>
      </c>
      <c r="G35" s="32">
        <f>SUM(G33:G34)</f>
        <v>3</v>
      </c>
      <c r="H35" s="32">
        <f>F35/G35*$Z$6</f>
        <v>4.0000000000000009</v>
      </c>
    </row>
    <row r="36" spans="2:8" hidden="1" x14ac:dyDescent="0.35">
      <c r="B36" s="7"/>
    </row>
    <row r="37" spans="2:8" ht="14.6" hidden="1" thickBot="1" x14ac:dyDescent="0.4">
      <c r="B37" s="33" t="s">
        <v>75</v>
      </c>
      <c r="C37" s="34"/>
      <c r="D37" s="33"/>
      <c r="E37" s="35"/>
      <c r="F37" s="36">
        <f>F23+F31+F35</f>
        <v>40.6</v>
      </c>
      <c r="G37" s="36">
        <f>G23+G31+G35</f>
        <v>48</v>
      </c>
      <c r="H37" s="36">
        <f>F37/G37*$Z$6</f>
        <v>4.229166666666667</v>
      </c>
    </row>
    <row r="38" spans="2:8" collapsed="1" x14ac:dyDescent="0.35">
      <c r="B38" s="7"/>
    </row>
    <row r="39" spans="2:8" x14ac:dyDescent="0.35">
      <c r="B39" s="3" t="s">
        <v>77</v>
      </c>
      <c r="C39" s="4"/>
      <c r="D39" s="4"/>
      <c r="E39" s="5"/>
      <c r="F39" s="6"/>
      <c r="G39" s="6"/>
      <c r="H39" s="6"/>
    </row>
    <row r="40" spans="2:8" x14ac:dyDescent="0.35">
      <c r="B40" s="7"/>
    </row>
    <row r="41" spans="2:8" x14ac:dyDescent="0.35">
      <c r="B41" s="7" t="s">
        <v>60</v>
      </c>
      <c r="C41" s="2" t="s">
        <v>78</v>
      </c>
      <c r="D41" s="13">
        <v>5</v>
      </c>
      <c r="E41" s="29">
        <v>0.8</v>
      </c>
      <c r="F41" s="15">
        <f>D41*E41</f>
        <v>4</v>
      </c>
      <c r="G41" s="26">
        <f>$Z$6*E41</f>
        <v>4</v>
      </c>
    </row>
    <row r="42" spans="2:8" x14ac:dyDescent="0.35">
      <c r="B42" s="7"/>
      <c r="C42" s="7" t="s">
        <v>18</v>
      </c>
      <c r="D42" s="7"/>
      <c r="E42" s="31"/>
      <c r="F42" s="32">
        <f>SUM(F41)</f>
        <v>4</v>
      </c>
      <c r="G42" s="32">
        <f>SUM(G41)</f>
        <v>4</v>
      </c>
      <c r="H42" s="32">
        <f>F42/G42*$Z$6</f>
        <v>5</v>
      </c>
    </row>
    <row r="43" spans="2:8" x14ac:dyDescent="0.35">
      <c r="B43" s="7"/>
    </row>
    <row r="44" spans="2:8" x14ac:dyDescent="0.35">
      <c r="B44" s="7" t="s">
        <v>61</v>
      </c>
      <c r="C44" s="2" t="s">
        <v>79</v>
      </c>
      <c r="D44" s="13">
        <v>5</v>
      </c>
      <c r="E44" s="29">
        <v>1</v>
      </c>
      <c r="F44" s="15">
        <f t="shared" ref="F44:F45" si="7">D44*E44</f>
        <v>5</v>
      </c>
      <c r="G44" s="26">
        <f>$Z$6*E44</f>
        <v>5</v>
      </c>
    </row>
    <row r="45" spans="2:8" x14ac:dyDescent="0.35">
      <c r="B45" s="7"/>
      <c r="C45" s="2" t="s">
        <v>80</v>
      </c>
      <c r="D45" s="13">
        <v>5</v>
      </c>
      <c r="E45" s="29">
        <v>0.8</v>
      </c>
      <c r="F45" s="15">
        <f t="shared" si="7"/>
        <v>4</v>
      </c>
      <c r="G45" s="26">
        <f>$Z$6*E45</f>
        <v>4</v>
      </c>
    </row>
    <row r="46" spans="2:8" x14ac:dyDescent="0.35">
      <c r="B46" s="7"/>
      <c r="C46" s="7" t="s">
        <v>18</v>
      </c>
      <c r="D46" s="7"/>
      <c r="E46" s="31"/>
      <c r="F46" s="32">
        <f>SUM(F44:F45)</f>
        <v>9</v>
      </c>
      <c r="G46" s="32">
        <f>SUM(G44:G45)</f>
        <v>9</v>
      </c>
      <c r="H46" s="32">
        <f>F46/G46*$Z$6</f>
        <v>5</v>
      </c>
    </row>
    <row r="47" spans="2:8" x14ac:dyDescent="0.35">
      <c r="B47" s="7"/>
    </row>
    <row r="48" spans="2:8" x14ac:dyDescent="0.35">
      <c r="B48" s="7" t="s">
        <v>62</v>
      </c>
      <c r="C48" s="2" t="s">
        <v>81</v>
      </c>
      <c r="D48" s="13">
        <v>3</v>
      </c>
      <c r="E48" s="29">
        <v>1</v>
      </c>
      <c r="F48" s="15">
        <f t="shared" ref="F48:F49" si="8">D48*E48</f>
        <v>3</v>
      </c>
      <c r="G48" s="26">
        <f>$Z$6*E48</f>
        <v>5</v>
      </c>
    </row>
    <row r="49" spans="2:8" x14ac:dyDescent="0.35">
      <c r="B49" s="7"/>
      <c r="C49" s="2" t="s">
        <v>43</v>
      </c>
      <c r="D49" s="13">
        <v>4</v>
      </c>
      <c r="E49" s="29">
        <v>0.6</v>
      </c>
      <c r="F49" s="15">
        <f t="shared" si="8"/>
        <v>2.4</v>
      </c>
      <c r="G49" s="26">
        <f>$Z$6*E49</f>
        <v>3</v>
      </c>
    </row>
    <row r="50" spans="2:8" x14ac:dyDescent="0.35">
      <c r="B50" s="7"/>
      <c r="C50" s="7" t="s">
        <v>18</v>
      </c>
      <c r="D50" s="7"/>
      <c r="E50" s="31"/>
      <c r="F50" s="32">
        <f>SUM(F48:F49)</f>
        <v>5.4</v>
      </c>
      <c r="G50" s="32">
        <f>SUM(G48:G49)</f>
        <v>8</v>
      </c>
      <c r="H50" s="32">
        <f>F50/G50*$Z$6</f>
        <v>3.375</v>
      </c>
    </row>
    <row r="51" spans="2:8" x14ac:dyDescent="0.35">
      <c r="E51" s="2"/>
      <c r="F51" s="2"/>
      <c r="G51" s="2"/>
      <c r="H51" s="2"/>
    </row>
    <row r="52" spans="2:8" x14ac:dyDescent="0.35">
      <c r="B52" s="7" t="s">
        <v>63</v>
      </c>
      <c r="C52" s="2" t="s">
        <v>29</v>
      </c>
      <c r="D52" s="13">
        <v>3</v>
      </c>
      <c r="E52" s="29">
        <v>1</v>
      </c>
      <c r="F52" s="15">
        <f t="shared" ref="F52:F53" si="9">D52*E52</f>
        <v>3</v>
      </c>
      <c r="G52" s="26">
        <f>$Z$6*E52</f>
        <v>5</v>
      </c>
    </row>
    <row r="53" spans="2:8" x14ac:dyDescent="0.35">
      <c r="B53" s="7"/>
      <c r="C53" s="2" t="s">
        <v>30</v>
      </c>
      <c r="D53" s="13">
        <v>3</v>
      </c>
      <c r="E53" s="29">
        <v>0.7</v>
      </c>
      <c r="F53" s="15">
        <f t="shared" si="9"/>
        <v>2.0999999999999996</v>
      </c>
      <c r="G53" s="26">
        <f>$Z$6*E53</f>
        <v>3.5</v>
      </c>
    </row>
    <row r="54" spans="2:8" x14ac:dyDescent="0.35">
      <c r="B54" s="7"/>
      <c r="C54" s="7" t="s">
        <v>18</v>
      </c>
      <c r="D54" s="7"/>
      <c r="E54" s="31"/>
      <c r="F54" s="32">
        <f>SUM(F52:F53)</f>
        <v>5.0999999999999996</v>
      </c>
      <c r="G54" s="32">
        <f>SUM(G52:G53)</f>
        <v>8.5</v>
      </c>
      <c r="H54" s="32">
        <f>F54/G54*$Z$6</f>
        <v>3</v>
      </c>
    </row>
    <row r="55" spans="2:8" x14ac:dyDescent="0.35">
      <c r="B55" s="7"/>
    </row>
    <row r="56" spans="2:8" x14ac:dyDescent="0.35">
      <c r="B56" s="7" t="s">
        <v>64</v>
      </c>
      <c r="C56" s="2" t="s">
        <v>41</v>
      </c>
      <c r="D56" s="13">
        <v>5</v>
      </c>
      <c r="E56" s="29">
        <v>1</v>
      </c>
      <c r="F56" s="15">
        <f t="shared" ref="F56:F57" si="10">D56*E56</f>
        <v>5</v>
      </c>
      <c r="G56" s="26">
        <f>$Z$6*E56</f>
        <v>5</v>
      </c>
    </row>
    <row r="57" spans="2:8" x14ac:dyDescent="0.35">
      <c r="B57" s="7"/>
      <c r="C57" s="2" t="s">
        <v>59</v>
      </c>
      <c r="D57" s="13">
        <v>5</v>
      </c>
      <c r="E57" s="29">
        <v>1</v>
      </c>
      <c r="F57" s="15">
        <f t="shared" si="10"/>
        <v>5</v>
      </c>
      <c r="G57" s="26">
        <f>$Z$6*E57</f>
        <v>5</v>
      </c>
    </row>
    <row r="58" spans="2:8" x14ac:dyDescent="0.35">
      <c r="B58" s="7"/>
      <c r="C58" s="7" t="s">
        <v>18</v>
      </c>
      <c r="D58" s="7"/>
      <c r="E58" s="31"/>
      <c r="F58" s="32">
        <f>SUM(F56:F57)</f>
        <v>10</v>
      </c>
      <c r="G58" s="32">
        <f>SUM(G56:G57)</f>
        <v>10</v>
      </c>
      <c r="H58" s="32">
        <f>F58/G58*$Z$6</f>
        <v>5</v>
      </c>
    </row>
    <row r="59" spans="2:8" x14ac:dyDescent="0.35">
      <c r="B59" s="7"/>
    </row>
    <row r="60" spans="2:8" ht="14.6" thickBot="1" x14ac:dyDescent="0.4">
      <c r="B60" s="33" t="s">
        <v>82</v>
      </c>
      <c r="C60" s="34"/>
      <c r="D60" s="33"/>
      <c r="E60" s="35"/>
      <c r="F60" s="36">
        <f>F42+F46+F50+F54+F58</f>
        <v>33.5</v>
      </c>
      <c r="G60" s="36">
        <f>G42+G46+G50+G54+G58</f>
        <v>39.5</v>
      </c>
      <c r="H60" s="36">
        <f>F60/G60*$Z$6</f>
        <v>4.2405063291139236</v>
      </c>
    </row>
    <row r="61" spans="2:8" x14ac:dyDescent="0.35">
      <c r="B61" s="7"/>
    </row>
    <row r="62" spans="2:8" x14ac:dyDescent="0.35">
      <c r="B62" s="3" t="s">
        <v>45</v>
      </c>
      <c r="C62" s="4"/>
      <c r="D62" s="4"/>
      <c r="E62" s="5"/>
      <c r="F62" s="6"/>
      <c r="G62" s="6"/>
      <c r="H62" s="37"/>
    </row>
    <row r="63" spans="2:8" x14ac:dyDescent="0.35">
      <c r="B63" s="7"/>
    </row>
    <row r="64" spans="2:8" x14ac:dyDescent="0.35">
      <c r="B64" s="7" t="s">
        <v>6</v>
      </c>
      <c r="C64" s="2" t="s">
        <v>40</v>
      </c>
      <c r="D64" s="13">
        <v>3</v>
      </c>
      <c r="E64" s="29">
        <v>1</v>
      </c>
      <c r="F64" s="15">
        <f t="shared" ref="F64:F66" si="11">D64*E64</f>
        <v>3</v>
      </c>
      <c r="G64" s="26">
        <f>$Z$6*E64</f>
        <v>5</v>
      </c>
    </row>
    <row r="65" spans="2:8" x14ac:dyDescent="0.35">
      <c r="B65" s="7"/>
      <c r="C65" s="2" t="s">
        <v>10</v>
      </c>
      <c r="D65" s="13">
        <v>3</v>
      </c>
      <c r="E65" s="29">
        <v>0.6</v>
      </c>
      <c r="F65" s="15">
        <f t="shared" si="11"/>
        <v>1.7999999999999998</v>
      </c>
      <c r="G65" s="26">
        <f>$Z$6*E65</f>
        <v>3</v>
      </c>
    </row>
    <row r="66" spans="2:8" x14ac:dyDescent="0.35">
      <c r="B66" s="7"/>
      <c r="C66" s="2" t="s">
        <v>22</v>
      </c>
      <c r="D66" s="13">
        <v>5</v>
      </c>
      <c r="E66" s="29">
        <v>0.6</v>
      </c>
      <c r="F66" s="15">
        <f t="shared" si="11"/>
        <v>3</v>
      </c>
      <c r="G66" s="26">
        <f>$Z$6*E66</f>
        <v>3</v>
      </c>
    </row>
    <row r="67" spans="2:8" x14ac:dyDescent="0.35">
      <c r="B67" s="7"/>
      <c r="C67" s="7" t="s">
        <v>18</v>
      </c>
      <c r="D67" s="7"/>
      <c r="E67" s="31"/>
      <c r="F67" s="32">
        <f>SUM(F64:F66)</f>
        <v>7.8</v>
      </c>
      <c r="G67" s="32">
        <f>SUM(G64:G66)</f>
        <v>11</v>
      </c>
      <c r="H67" s="32">
        <f>F67/G67*$Z$6</f>
        <v>3.5454545454545454</v>
      </c>
    </row>
    <row r="68" spans="2:8" x14ac:dyDescent="0.35">
      <c r="B68" s="7"/>
      <c r="D68" s="7"/>
      <c r="E68" s="31"/>
      <c r="F68" s="32"/>
      <c r="G68" s="32"/>
      <c r="H68" s="32"/>
    </row>
    <row r="69" spans="2:8" x14ac:dyDescent="0.35">
      <c r="B69" s="7" t="s">
        <v>4</v>
      </c>
      <c r="C69" s="2" t="s">
        <v>33</v>
      </c>
      <c r="D69" s="13">
        <v>4</v>
      </c>
      <c r="E69" s="29">
        <v>0.8</v>
      </c>
      <c r="F69" s="15">
        <f t="shared" ref="F69:F72" si="12">D69*E69</f>
        <v>3.2</v>
      </c>
      <c r="G69" s="26">
        <f>$Z$6*E69</f>
        <v>4</v>
      </c>
    </row>
    <row r="70" spans="2:8" x14ac:dyDescent="0.35">
      <c r="B70" s="7"/>
      <c r="C70" s="2" t="s">
        <v>9</v>
      </c>
      <c r="D70" s="13">
        <v>3</v>
      </c>
      <c r="E70" s="29">
        <v>0.4</v>
      </c>
      <c r="F70" s="15">
        <f t="shared" si="12"/>
        <v>1.2000000000000002</v>
      </c>
      <c r="G70" s="26">
        <f>$Z$6*E70</f>
        <v>2</v>
      </c>
    </row>
    <row r="71" spans="2:8" x14ac:dyDescent="0.35">
      <c r="B71" s="7"/>
      <c r="C71" s="2" t="s">
        <v>38</v>
      </c>
      <c r="D71" s="13">
        <v>3</v>
      </c>
      <c r="E71" s="29">
        <v>0.4</v>
      </c>
      <c r="F71" s="15">
        <f t="shared" si="12"/>
        <v>1.2000000000000002</v>
      </c>
      <c r="G71" s="26">
        <f>$Z$6*E71</f>
        <v>2</v>
      </c>
    </row>
    <row r="72" spans="2:8" x14ac:dyDescent="0.35">
      <c r="B72" s="7"/>
      <c r="C72" s="2" t="s">
        <v>65</v>
      </c>
      <c r="D72" s="13">
        <v>5</v>
      </c>
      <c r="E72" s="29">
        <v>1</v>
      </c>
      <c r="F72" s="15">
        <f t="shared" si="12"/>
        <v>5</v>
      </c>
      <c r="G72" s="26">
        <f>$Z$6*E72</f>
        <v>5</v>
      </c>
    </row>
    <row r="73" spans="2:8" x14ac:dyDescent="0.35">
      <c r="B73" s="7"/>
      <c r="C73" s="2" t="s">
        <v>21</v>
      </c>
      <c r="D73" s="13">
        <v>3</v>
      </c>
      <c r="E73" s="29">
        <v>0.4</v>
      </c>
      <c r="F73" s="15">
        <f t="shared" ref="F73" si="13">D73*E73</f>
        <v>1.2000000000000002</v>
      </c>
      <c r="G73" s="26">
        <f>$Z$6*E73</f>
        <v>2</v>
      </c>
    </row>
    <row r="74" spans="2:8" x14ac:dyDescent="0.35">
      <c r="B74" s="7"/>
      <c r="C74" s="7" t="s">
        <v>18</v>
      </c>
      <c r="D74" s="7"/>
      <c r="E74" s="31"/>
      <c r="F74" s="32">
        <f>SUM(F69:F73)</f>
        <v>11.8</v>
      </c>
      <c r="G74" s="32">
        <f>SUM(G69:G73)</f>
        <v>15</v>
      </c>
      <c r="H74" s="32">
        <f>F74/G74*$Z$6</f>
        <v>3.9333333333333336</v>
      </c>
    </row>
    <row r="75" spans="2:8" x14ac:dyDescent="0.35">
      <c r="B75" s="7"/>
    </row>
    <row r="76" spans="2:8" ht="14.6" thickBot="1" x14ac:dyDescent="0.4">
      <c r="B76" s="33" t="s">
        <v>44</v>
      </c>
      <c r="C76" s="34"/>
      <c r="D76" s="33"/>
      <c r="E76" s="35"/>
      <c r="F76" s="36">
        <f>F67+F74</f>
        <v>19.600000000000001</v>
      </c>
      <c r="G76" s="36">
        <f>G67+G74</f>
        <v>26</v>
      </c>
      <c r="H76" s="36">
        <f>F76/G76*$Z$6</f>
        <v>3.7692307692307696</v>
      </c>
    </row>
    <row r="77" spans="2:8" x14ac:dyDescent="0.35">
      <c r="B77" s="7"/>
    </row>
    <row r="78" spans="2:8" x14ac:dyDescent="0.35">
      <c r="B78" s="3" t="s">
        <v>46</v>
      </c>
      <c r="C78" s="4"/>
      <c r="D78" s="4"/>
      <c r="E78" s="5"/>
      <c r="F78" s="6"/>
      <c r="G78" s="6"/>
      <c r="H78" s="37"/>
    </row>
    <row r="79" spans="2:8" x14ac:dyDescent="0.35">
      <c r="B79" s="7"/>
    </row>
    <row r="80" spans="2:8" x14ac:dyDescent="0.35">
      <c r="B80" s="7"/>
    </row>
    <row r="81" spans="2:8" x14ac:dyDescent="0.35">
      <c r="B81" s="7" t="s">
        <v>5</v>
      </c>
      <c r="C81" s="2" t="s">
        <v>71</v>
      </c>
      <c r="D81" s="13">
        <v>4</v>
      </c>
      <c r="E81" s="29">
        <v>1</v>
      </c>
      <c r="F81" s="15">
        <f t="shared" ref="F81:F82" si="14">D81*E81</f>
        <v>4</v>
      </c>
      <c r="G81" s="26">
        <f>$Z$6*E81</f>
        <v>5</v>
      </c>
    </row>
    <row r="82" spans="2:8" x14ac:dyDescent="0.35">
      <c r="B82" s="7"/>
      <c r="C82" s="2" t="s">
        <v>73</v>
      </c>
      <c r="D82" s="13">
        <v>4</v>
      </c>
      <c r="E82" s="29">
        <v>1</v>
      </c>
      <c r="F82" s="15">
        <f t="shared" si="14"/>
        <v>4</v>
      </c>
      <c r="G82" s="26">
        <f>$Z$6*E82</f>
        <v>5</v>
      </c>
    </row>
    <row r="83" spans="2:8" x14ac:dyDescent="0.35">
      <c r="B83" s="7"/>
      <c r="C83" s="7" t="s">
        <v>18</v>
      </c>
      <c r="D83" s="7"/>
      <c r="E83" s="31"/>
      <c r="F83" s="32">
        <f>SUM(F81:F82)</f>
        <v>8</v>
      </c>
      <c r="G83" s="32">
        <f>SUM(G81:G82)</f>
        <v>10</v>
      </c>
      <c r="H83" s="32">
        <f>F83/G83*$Z$6</f>
        <v>4</v>
      </c>
    </row>
    <row r="84" spans="2:8" x14ac:dyDescent="0.35">
      <c r="B84" s="7"/>
    </row>
    <row r="85" spans="2:8" x14ac:dyDescent="0.35">
      <c r="B85" s="7" t="s">
        <v>66</v>
      </c>
      <c r="C85" s="2" t="s">
        <v>72</v>
      </c>
      <c r="D85" s="13">
        <v>3</v>
      </c>
      <c r="E85" s="29">
        <v>1</v>
      </c>
      <c r="F85" s="15">
        <f>D85*E85</f>
        <v>3</v>
      </c>
      <c r="G85" s="26">
        <f>$Z$6*E85</f>
        <v>5</v>
      </c>
    </row>
    <row r="86" spans="2:8" x14ac:dyDescent="0.35">
      <c r="B86" s="7" t="s">
        <v>67</v>
      </c>
      <c r="C86" s="2" t="s">
        <v>70</v>
      </c>
      <c r="D86" s="13">
        <v>3</v>
      </c>
      <c r="E86" s="29">
        <v>0.6</v>
      </c>
      <c r="F86" s="15">
        <f>D86*E86</f>
        <v>1.7999999999999998</v>
      </c>
      <c r="G86" s="26">
        <f>$Z$6*E86</f>
        <v>3</v>
      </c>
    </row>
    <row r="87" spans="2:8" x14ac:dyDescent="0.35">
      <c r="C87" s="2" t="s">
        <v>68</v>
      </c>
      <c r="D87" s="13">
        <v>3</v>
      </c>
      <c r="E87" s="29">
        <v>0.4</v>
      </c>
      <c r="F87" s="15">
        <f t="shared" ref="F87" si="15">D87*E87</f>
        <v>1.2000000000000002</v>
      </c>
      <c r="G87" s="26">
        <f>$Z$6*E87</f>
        <v>2</v>
      </c>
    </row>
    <row r="88" spans="2:8" x14ac:dyDescent="0.35">
      <c r="C88" s="2" t="s">
        <v>69</v>
      </c>
      <c r="D88" s="13">
        <v>3</v>
      </c>
      <c r="E88" s="29">
        <v>0.6</v>
      </c>
      <c r="F88" s="15">
        <f t="shared" ref="F88" si="16">D88*E88</f>
        <v>1.7999999999999998</v>
      </c>
      <c r="G88" s="26">
        <f>$Z$6*E88</f>
        <v>3</v>
      </c>
    </row>
    <row r="89" spans="2:8" x14ac:dyDescent="0.35">
      <c r="B89" s="7"/>
      <c r="C89" s="7" t="s">
        <v>18</v>
      </c>
      <c r="D89" s="7"/>
      <c r="E89" s="31"/>
      <c r="F89" s="32">
        <f>SUM(F85:F88)</f>
        <v>7.8</v>
      </c>
      <c r="G89" s="32">
        <f>SUM(G85:G88)</f>
        <v>13</v>
      </c>
      <c r="H89" s="32">
        <f>F89/G89*$Z$6</f>
        <v>3</v>
      </c>
    </row>
    <row r="90" spans="2:8" x14ac:dyDescent="0.35">
      <c r="B90" s="7"/>
    </row>
    <row r="91" spans="2:8" x14ac:dyDescent="0.35">
      <c r="B91" s="7" t="s">
        <v>7</v>
      </c>
      <c r="C91" s="2" t="s">
        <v>24</v>
      </c>
      <c r="D91" s="13">
        <v>3</v>
      </c>
      <c r="E91" s="29">
        <v>1</v>
      </c>
      <c r="F91" s="15">
        <f>D91*E91</f>
        <v>3</v>
      </c>
      <c r="G91" s="26">
        <f>$Z$6*E91</f>
        <v>5</v>
      </c>
    </row>
    <row r="92" spans="2:8" x14ac:dyDescent="0.35">
      <c r="B92" s="7"/>
      <c r="C92" s="2" t="s">
        <v>23</v>
      </c>
      <c r="D92" s="13">
        <v>4</v>
      </c>
      <c r="E92" s="29">
        <v>0.8</v>
      </c>
      <c r="F92" s="15">
        <f>D92*E92</f>
        <v>3.2</v>
      </c>
      <c r="G92" s="26">
        <f>$Z$6*E92</f>
        <v>4</v>
      </c>
    </row>
    <row r="93" spans="2:8" x14ac:dyDescent="0.35">
      <c r="B93" s="7"/>
      <c r="C93" s="2" t="s">
        <v>25</v>
      </c>
      <c r="D93" s="13">
        <v>4</v>
      </c>
      <c r="E93" s="29">
        <v>0.6</v>
      </c>
      <c r="F93" s="15">
        <f t="shared" ref="F93:F94" si="17">D93*E93</f>
        <v>2.4</v>
      </c>
      <c r="G93" s="26">
        <f>$Z$6*E93</f>
        <v>3</v>
      </c>
    </row>
    <row r="94" spans="2:8" x14ac:dyDescent="0.35">
      <c r="B94" s="7"/>
      <c r="C94" s="2" t="s">
        <v>42</v>
      </c>
      <c r="D94" s="13">
        <v>3</v>
      </c>
      <c r="E94" s="29">
        <v>0.6</v>
      </c>
      <c r="F94" s="15">
        <f t="shared" si="17"/>
        <v>1.7999999999999998</v>
      </c>
      <c r="G94" s="26">
        <f>$Z$6*E94</f>
        <v>3</v>
      </c>
    </row>
    <row r="95" spans="2:8" x14ac:dyDescent="0.35">
      <c r="B95" s="7"/>
      <c r="C95" s="7" t="s">
        <v>18</v>
      </c>
      <c r="D95" s="7"/>
      <c r="E95" s="31"/>
      <c r="F95" s="32">
        <f>SUM(F91:F94)</f>
        <v>10.399999999999999</v>
      </c>
      <c r="G95" s="32">
        <f>SUM(G91:G94)</f>
        <v>15</v>
      </c>
      <c r="H95" s="32">
        <f>F95/G95*$Z$6</f>
        <v>3.4666666666666663</v>
      </c>
    </row>
    <row r="96" spans="2:8" x14ac:dyDescent="0.35">
      <c r="B96" s="7"/>
    </row>
    <row r="97" spans="2:8" x14ac:dyDescent="0.35">
      <c r="B97" s="7" t="s">
        <v>8</v>
      </c>
      <c r="C97" s="2" t="s">
        <v>27</v>
      </c>
      <c r="D97" s="13">
        <v>4</v>
      </c>
      <c r="E97" s="29">
        <v>0.8</v>
      </c>
      <c r="F97" s="15">
        <f t="shared" ref="F97:F99" si="18">D97*E97</f>
        <v>3.2</v>
      </c>
      <c r="G97" s="26">
        <f>$Z$6*E97</f>
        <v>4</v>
      </c>
    </row>
    <row r="98" spans="2:8" x14ac:dyDescent="0.35">
      <c r="C98" s="2" t="s">
        <v>26</v>
      </c>
      <c r="D98" s="13">
        <v>4</v>
      </c>
      <c r="E98" s="29">
        <v>0.6</v>
      </c>
      <c r="F98" s="15">
        <f t="shared" si="18"/>
        <v>2.4</v>
      </c>
      <c r="G98" s="26">
        <f>$Z$6*E98</f>
        <v>3</v>
      </c>
    </row>
    <row r="99" spans="2:8" x14ac:dyDescent="0.35">
      <c r="C99" s="2" t="s">
        <v>28</v>
      </c>
      <c r="D99" s="13">
        <v>2</v>
      </c>
      <c r="E99" s="29">
        <v>0.2</v>
      </c>
      <c r="F99" s="15">
        <f t="shared" si="18"/>
        <v>0.4</v>
      </c>
      <c r="G99" s="26">
        <f>$Z$6*E99</f>
        <v>1</v>
      </c>
    </row>
    <row r="100" spans="2:8" x14ac:dyDescent="0.35">
      <c r="C100" s="7" t="s">
        <v>18</v>
      </c>
      <c r="D100" s="7"/>
      <c r="E100" s="31"/>
      <c r="F100" s="32">
        <f>SUM(F97:F99)</f>
        <v>6</v>
      </c>
      <c r="G100" s="32">
        <f>SUM(G97:G99)</f>
        <v>8</v>
      </c>
      <c r="H100" s="32">
        <f>F100/G100*$Z$6</f>
        <v>3.75</v>
      </c>
    </row>
    <row r="102" spans="2:8" ht="14.6" thickBot="1" x14ac:dyDescent="0.4">
      <c r="B102" s="33" t="s">
        <v>47</v>
      </c>
      <c r="C102" s="34"/>
      <c r="D102" s="33"/>
      <c r="E102" s="35"/>
      <c r="F102" s="36">
        <f>F83+F89+F95+F100</f>
        <v>32.200000000000003</v>
      </c>
      <c r="G102" s="36">
        <f>G83+G89+G95+G100</f>
        <v>46</v>
      </c>
      <c r="H102" s="36">
        <f>F102/G102*$Z$6</f>
        <v>3.5000000000000004</v>
      </c>
    </row>
    <row r="128" spans="2:8" ht="14.6" thickBot="1" x14ac:dyDescent="0.4">
      <c r="B128" s="38"/>
      <c r="C128" s="38"/>
      <c r="D128" s="38"/>
      <c r="E128" s="39"/>
      <c r="F128" s="40"/>
      <c r="G128" s="40"/>
      <c r="H128" s="41"/>
    </row>
    <row r="129" ht="14.6" thickTop="1" x14ac:dyDescent="0.35"/>
  </sheetData>
  <mergeCells count="1">
    <mergeCell ref="B2:H2"/>
  </mergeCells>
  <pageMargins left="0.31496062992125984" right="0.31496062992125984" top="0.55118110236220474" bottom="0.35433070866141736" header="0.31496062992125984" footer="0.31496062992125984"/>
  <pageSetup paperSize="9" scale="43" orientation="portrait" verticalDpi="1200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f8c1f4-51f4-41c5-80bb-14b619007767">
      <Terms xmlns="http://schemas.microsoft.com/office/infopath/2007/PartnerControls"/>
    </lcf76f155ced4ddcb4097134ff3c332f>
    <TaxCatchAll xmlns="74da8adc-d469-41ed-8f58-10f8fb7ff05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1279030F004141A2B7C3F155952158" ma:contentTypeVersion="18" ma:contentTypeDescription="Create a new document." ma:contentTypeScope="" ma:versionID="0610c12c599951a063f37a27adcc910a">
  <xsd:schema xmlns:xsd="http://www.w3.org/2001/XMLSchema" xmlns:xs="http://www.w3.org/2001/XMLSchema" xmlns:p="http://schemas.microsoft.com/office/2006/metadata/properties" xmlns:ns2="d5f8c1f4-51f4-41c5-80bb-14b619007767" xmlns:ns3="6076306d-bd61-4d8a-86b5-d0beedfed8fb" xmlns:ns4="74da8adc-d469-41ed-8f58-10f8fb7ff052" targetNamespace="http://schemas.microsoft.com/office/2006/metadata/properties" ma:root="true" ma:fieldsID="4de865a7df3c91a3f212894ba4ad9c97" ns2:_="" ns3:_="" ns4:_="">
    <xsd:import namespace="d5f8c1f4-51f4-41c5-80bb-14b619007767"/>
    <xsd:import namespace="6076306d-bd61-4d8a-86b5-d0beedfed8fb"/>
    <xsd:import namespace="74da8adc-d469-41ed-8f58-10f8fb7ff0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f8c1f4-51f4-41c5-80bb-14b619007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3b6a90-020c-4d54-b670-f6b9672571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6306d-bd61-4d8a-86b5-d0beedfed8f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da8adc-d469-41ed-8f58-10f8fb7ff05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1ab2a87a-ae31-4e90-878b-1e3cb277f9fa}" ma:internalName="TaxCatchAll" ma:showField="CatchAllData" ma:web="74da8adc-d469-41ed-8f58-10f8fb7ff0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A2A63-181F-4DCA-AA90-31D518EA3052}">
  <ds:schemaRefs>
    <ds:schemaRef ds:uri="http://purl.org/dc/terms/"/>
    <ds:schemaRef ds:uri="6076306d-bd61-4d8a-86b5-d0beedfed8fb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d5f8c1f4-51f4-41c5-80bb-14b619007767"/>
    <ds:schemaRef ds:uri="http://schemas.openxmlformats.org/package/2006/metadata/core-properties"/>
    <ds:schemaRef ds:uri="74da8adc-d469-41ed-8f58-10f8fb7ff052"/>
  </ds:schemaRefs>
</ds:datastoreItem>
</file>

<file path=customXml/itemProps2.xml><?xml version="1.0" encoding="utf-8"?>
<ds:datastoreItem xmlns:ds="http://schemas.openxmlformats.org/officeDocument/2006/customXml" ds:itemID="{D60BBA0F-3DFA-49DF-BEC3-AC92A3D22C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7FB43F-905D-4DE3-A481-8E39E68BB9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f8c1f4-51f4-41c5-80bb-14b619007767"/>
    <ds:schemaRef ds:uri="6076306d-bd61-4d8a-86b5-d0beedfed8fb"/>
    <ds:schemaRef ds:uri="74da8adc-d469-41ed-8f58-10f8fb7ff0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 checklist</vt:lpstr>
      <vt:lpstr>'DD checklist'!Print_Area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</dc:creator>
  <cp:lastModifiedBy>Anuj Nanwani</cp:lastModifiedBy>
  <cp:lastPrinted>2018-04-30T15:20:56Z</cp:lastPrinted>
  <dcterms:created xsi:type="dcterms:W3CDTF">2017-11-07T17:50:36Z</dcterms:created>
  <dcterms:modified xsi:type="dcterms:W3CDTF">2025-04-01T09:41:44Z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0x010100591279030F004141A2B7C3F155952158</vt:lpwstr>
  </property>
  <property fmtid="{D5CDD505-2E9C-101B-9397-08002B2CF9AE}" pid="3" name="MediaServiceImageTags">
    <vt:lpwstr/>
  </property>
</Properties>
</file>